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Fluxo-da-Comunicacao-Cientifica-Lic-Comp\Docs\"/>
    </mc:Choice>
  </mc:AlternateContent>
  <xr:revisionPtr revIDLastSave="0" documentId="13_ncr:1_{610FB390-C65A-402F-8FF2-51A55EA7F91C}" xr6:coauthVersionLast="36" xr6:coauthVersionMax="36" xr10:uidLastSave="{00000000-0000-0000-0000-000000000000}"/>
  <bookViews>
    <workbookView xWindow="0" yWindow="0" windowWidth="20490" windowHeight="7425" xr2:uid="{AEC90C7E-1C91-4932-8D29-358D17889A45}"/>
  </bookViews>
  <sheets>
    <sheet name="Panorama da Produção Cientifica" sheetId="1" r:id="rId1"/>
    <sheet name="Distribuição Instituciona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3" i="2"/>
  <c r="C3" i="2"/>
  <c r="C4" i="2"/>
  <c r="C5" i="2"/>
  <c r="C6" i="2"/>
  <c r="C7" i="2"/>
  <c r="D62" i="1" l="1"/>
</calcChain>
</file>

<file path=xl/sharedStrings.xml><?xml version="1.0" encoding="utf-8"?>
<sst xmlns="http://schemas.openxmlformats.org/spreadsheetml/2006/main" count="80" uniqueCount="67">
  <si>
    <t>Ano</t>
  </si>
  <si>
    <t>Educacional</t>
  </si>
  <si>
    <t>Técnica</t>
  </si>
  <si>
    <t>Área</t>
  </si>
  <si>
    <t>Volume</t>
  </si>
  <si>
    <t>Palavra Chave</t>
  </si>
  <si>
    <t>Ocorrência</t>
  </si>
  <si>
    <t>Educação</t>
  </si>
  <si>
    <t>Tecnologia Educacional</t>
  </si>
  <si>
    <t>Aprendizagem</t>
  </si>
  <si>
    <t>Pensamento Computacional</t>
  </si>
  <si>
    <t>Ensino</t>
  </si>
  <si>
    <t>Tecnologia</t>
  </si>
  <si>
    <t>Software Educacional</t>
  </si>
  <si>
    <t>Gamificação</t>
  </si>
  <si>
    <t>Inclusão Digital</t>
  </si>
  <si>
    <t>Matemática</t>
  </si>
  <si>
    <t>Assunto</t>
  </si>
  <si>
    <t>Computação</t>
  </si>
  <si>
    <t>Inclusão digital</t>
  </si>
  <si>
    <t>Laboratório de informática</t>
  </si>
  <si>
    <t>Software educacional</t>
  </si>
  <si>
    <t>Tecnologias da Informação e Comunicação (TICs)</t>
  </si>
  <si>
    <t>Escola pública</t>
  </si>
  <si>
    <t>Software - desenvolvimento</t>
  </si>
  <si>
    <t>Area</t>
  </si>
  <si>
    <t>Palavras-chave</t>
  </si>
  <si>
    <t>Tecnica</t>
  </si>
  <si>
    <t>Sexo</t>
  </si>
  <si>
    <t>Total</t>
  </si>
  <si>
    <t>Masculino</t>
  </si>
  <si>
    <t>Feminino</t>
  </si>
  <si>
    <t>Região</t>
  </si>
  <si>
    <t>Sudoeste</t>
  </si>
  <si>
    <t>Nordeste</t>
  </si>
  <si>
    <t>Sul</t>
  </si>
  <si>
    <t>Centro-Oeste</t>
  </si>
  <si>
    <t>Norte</t>
  </si>
  <si>
    <t>Instituições</t>
  </si>
  <si>
    <t>Cursos</t>
  </si>
  <si>
    <t>Qtd</t>
  </si>
  <si>
    <t>%</t>
  </si>
  <si>
    <t xml:space="preserve">Modalidade </t>
  </si>
  <si>
    <t>A Distância</t>
  </si>
  <si>
    <t>Presencial</t>
  </si>
  <si>
    <t>Categoria Administrativa</t>
  </si>
  <si>
    <t>Estadual</t>
  </si>
  <si>
    <t>Federal</t>
  </si>
  <si>
    <t>Instituição</t>
  </si>
  <si>
    <t>Técnico</t>
  </si>
  <si>
    <t>IF Sertão</t>
  </si>
  <si>
    <t>IFBA</t>
  </si>
  <si>
    <t>IFTM</t>
  </si>
  <si>
    <t>IFTO</t>
  </si>
  <si>
    <t>UEA</t>
  </si>
  <si>
    <t>UECE</t>
  </si>
  <si>
    <t>UFERSA</t>
  </si>
  <si>
    <t>UFF</t>
  </si>
  <si>
    <t>UFPB</t>
  </si>
  <si>
    <t>UFPR</t>
  </si>
  <si>
    <t>UFRA</t>
  </si>
  <si>
    <t>UFRPE</t>
  </si>
  <si>
    <t>UFSM</t>
  </si>
  <si>
    <t>UNB</t>
  </si>
  <si>
    <t>UNEB</t>
  </si>
  <si>
    <t>UNIR</t>
  </si>
  <si>
    <t>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</si>
</sst>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'Panorama da Produção Cientifica'!$B$1</c:f>
              <c:strCache>
                <c:ptCount val="1"/>
                <c:pt idx="0">
                  <c:v>Educacional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'Panorama da Produção Cientifica'!$A$1:$A$12</c15:sqref>
                  </c15:fullRef>
                </c:ext>
              </c:extLst>
              <c:f>'Panorama da Produção Cientifica'!$A$2:$A$12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'Panorama da Produção Cientifica'!$B$2:$B$13</c15:sqref>
                  </c15:fullRef>
                </c:ext>
              </c:extLst>
              <c:f>'Panorama da Produção Cientifica'!$B$3:$B$13</c:f>
              <c:numCache>
                <c:formatCode>General</c:formatCode>
                <c:ptCount val="11"/>
                <c:pt idx="0">
                  <c:v>58</c:v>
                </c:pt>
                <c:pt idx="1">
                  <c:v>79</c:v>
                </c:pt>
                <c:pt idx="2">
                  <c:v>156</c:v>
                </c:pt>
                <c:pt idx="3">
                  <c:v>105</c:v>
                </c:pt>
                <c:pt idx="4">
                  <c:v>69</c:v>
                </c:pt>
                <c:pt idx="5">
                  <c:v>106</c:v>
                </c:pt>
                <c:pt idx="6">
                  <c:v>31</c:v>
                </c:pt>
                <c:pt idx="7">
                  <c:v>43</c:v>
                </c:pt>
                <c:pt idx="8">
                  <c:v>64</c:v>
                </c:pt>
                <c:pt idx="9">
                  <c:v>38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A-4D90-8BB5-F4B3868C6B46}"/>
            </c:ext>
          </c:extLst>
        </c:ser>
        <c:ser>
          <c:idx val="2"/>
          <c:order val="2"/>
          <c:tx>
            <c:strRef>
              <c:f>'Panorama da Produção Cientifica'!$C$1</c:f>
              <c:strCache>
                <c:ptCount val="1"/>
                <c:pt idx="0">
                  <c:v>Técnica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'Panorama da Produção Cientifica'!$A$1:$A$12</c15:sqref>
                  </c15:fullRef>
                </c:ext>
              </c:extLst>
              <c:f>'Panorama da Produção Cientifica'!$A$2:$A$12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'Panorama da Produção Cientifica'!$C$2:$C$13</c15:sqref>
                  </c15:fullRef>
                </c:ext>
              </c:extLst>
              <c:f>'Panorama da Produção Cientifica'!$C$3:$C$13</c:f>
              <c:numCache>
                <c:formatCode>General</c:formatCode>
                <c:ptCount val="11"/>
                <c:pt idx="0">
                  <c:v>12</c:v>
                </c:pt>
                <c:pt idx="1">
                  <c:v>22</c:v>
                </c:pt>
                <c:pt idx="2">
                  <c:v>16</c:v>
                </c:pt>
                <c:pt idx="3">
                  <c:v>9</c:v>
                </c:pt>
                <c:pt idx="4">
                  <c:v>14</c:v>
                </c:pt>
                <c:pt idx="5">
                  <c:v>5</c:v>
                </c:pt>
                <c:pt idx="6">
                  <c:v>9</c:v>
                </c:pt>
                <c:pt idx="7">
                  <c:v>13</c:v>
                </c:pt>
                <c:pt idx="8">
                  <c:v>16</c:v>
                </c:pt>
                <c:pt idx="9">
                  <c:v>16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A-4D90-8BB5-F4B3868C6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563271583"/>
        <c:axId val="563345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'Panorama da Produção Cientifica'!$A$1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'Panorama da Produção Cientifica'!$A$1:$A$12</c15:sqref>
                        </c15:fullRef>
                        <c15:formulaRef>
                          <c15:sqref>'Panorama da Produção Cientifica'!$A$2:$A$12</c15:sqref>
                        </c15:formulaRef>
                      </c:ext>
                    </c:extLst>
                    <c:strCach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'Panorama da Produção Cientifica'!$A$2:$A$11</c15:sqref>
                        </c15:fullRef>
                        <c15:formulaRef>
                          <c15:sqref>'Panorama da Produção Cientifica'!$A$3:$A$11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</c:v>
                      </c:pt>
                      <c:pt idx="6">
                        <c:v>2022</c:v>
                      </c:pt>
                      <c:pt idx="7">
                        <c:v>2023</c:v>
                      </c:pt>
                      <c:pt idx="8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7EA-4D90-8BB5-F4B3868C6B46}"/>
                  </c:ext>
                </c:extLst>
              </c15:ser>
            </c15:filteredBarSeries>
          </c:ext>
        </c:extLst>
      </c:barChart>
      <c:catAx>
        <c:axId val="5632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45599"/>
        <c:crosses val="autoZero"/>
        <c:auto val="1"/>
        <c:lblAlgn val="ctr"/>
        <c:lblOffset val="100"/>
        <c:noMultiLvlLbl val="0"/>
      </c:catAx>
      <c:valAx>
        <c:axId val="5633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271583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legend>
      <c:legendPos val="b"/>
      <c:layout>
        <c:manualLayout>
          <c:xMode val="edge"/>
          <c:yMode val="edge"/>
          <c:x val="0.3687865016872891"/>
          <c:y val="0.8524056340199232"/>
          <c:w val="0.20809928758905136"/>
          <c:h val="0.1058831724933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'Panorama da Produção Cientifica'!$B$16</c:f>
              <c:strCache>
                <c:ptCount val="1"/>
                <c:pt idx="0">
                  <c:v>Volume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20-4FCF-BBA9-EE6436BD197B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20-4FCF-BBA9-EE6436BD197B}"/>
              </c:ext>
            </c:extLst>
          </c:dPt>
          <c:dLbls>
            <c:dLbl>
              <c:idx val="0"/>
              <c:layout>
                <c:manualLayout>
                  <c:x val="3.3994344387988783E-2"/>
                  <c:y val="-4.85829959514171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20-4FCF-BBA9-EE6436BD197B}"/>
                </c:ext>
              </c:extLst>
            </c:dLbl>
            <c:dLbl>
              <c:idx val="1"/>
              <c:layout>
                <c:manualLayout>
                  <c:x val="-3.3994344387988817E-2"/>
                  <c:y val="3.77867746288798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20-4FCF-BBA9-EE6436BD19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'Panorama da Produção Cientifica'!$A$17:$A$18</c:f>
              <c:strCache>
                <c:ptCount val="2"/>
                <c:pt idx="0">
                  <c:v>Educacional</c:v>
                </c:pt>
                <c:pt idx="1">
                  <c:v>Técnica</c:v>
                </c:pt>
              </c:strCache>
            </c:strRef>
          </c:cat>
          <c:val>
            <c:numRef>
              <c:f>'Panorama da Produção Cientifica'!$B$17:$B$18</c:f>
              <c:numCache>
                <c:formatCode>General</c:formatCode>
                <c:ptCount val="2"/>
                <c:pt idx="0">
                  <c:v>766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0-4FCF-BBA9-EE6436BD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'Panorama da Produção Cientifica'!$B$63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60-4B56-85D8-9712EB8BDAEC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60-4B56-85D8-9712EB8BDAE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'Panorama da Produção Cientifica'!$A$64:$A$65</c:f>
              <c:strCache>
                <c:ptCount val="2"/>
                <c:pt idx="0">
                  <c:v>Masculino</c:v>
                </c:pt>
                <c:pt idx="1">
                  <c:v>Feminino</c:v>
                </c:pt>
              </c:strCache>
            </c:strRef>
          </c:cat>
          <c:val>
            <c:numRef>
              <c:f>'Panorama da Produção Cientifica'!$B$64:$B$65</c:f>
              <c:numCache>
                <c:formatCode>General</c:formatCode>
                <c:ptCount val="2"/>
                <c:pt idx="0">
                  <c:v>720</c:v>
                </c:pt>
                <c:pt idx="1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0-4B56-85D8-9712EB8BD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'Distribuição Institucional'!$B$10</c:f>
              <c:strCache>
                <c:ptCount val="1"/>
                <c:pt idx="0">
                  <c:v>Instituições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59-4902-A40A-F3FBC23356C0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959-4902-A40A-F3FBC23356C0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59-4902-A40A-F3FBC23356C0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59-4902-A40A-F3FBC23356C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'Distribuição Institucional'!$A$11:$A$12</c:f>
              <c:strCache>
                <c:ptCount val="2"/>
                <c:pt idx="0">
                  <c:v>A Distância</c:v>
                </c:pt>
                <c:pt idx="1">
                  <c:v>Presencial</c:v>
                </c:pt>
              </c:strCache>
            </c:strRef>
          </c:cat>
          <c:val>
            <c:numRef>
              <c:f>'Distribuição Institucional'!$B$11:$B$12</c:f>
              <c:numCache>
                <c:formatCode>General</c:formatCode>
                <c:ptCount val="2"/>
                <c:pt idx="0">
                  <c:v>12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9-4902-A40A-F3FBC2335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'Distribuição Institucional'!$B$27</c:f>
              <c:strCache>
                <c:ptCount val="1"/>
                <c:pt idx="0">
                  <c:v>Instituições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B85-46C1-8532-F635C47E24C3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85-46C1-8532-F635C47E24C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'Distribuição Institucional'!$A$28:$A$29</c:f>
              <c:strCache>
                <c:ptCount val="2"/>
                <c:pt idx="0">
                  <c:v>Estadual</c:v>
                </c:pt>
                <c:pt idx="1">
                  <c:v>Federal</c:v>
                </c:pt>
              </c:strCache>
            </c:strRef>
          </c:cat>
          <c:val>
            <c:numRef>
              <c:f>'Distribuição Institucional'!$B$28:$B$29</c:f>
              <c:numCache>
                <c:formatCode>General</c:formatCode>
                <c:ptCount val="2"/>
                <c:pt idx="0">
                  <c:v>7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5-46C1-8532-F635C47E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57150</xdr:rowOff>
    </xdr:from>
    <xdr:to>
      <xdr:col>14</xdr:col>
      <xdr:colOff>561975</xdr:colOff>
      <xdr:row>11</xdr:row>
      <xdr:rowOff>176211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D7B948-2160-4657-B425-4E6F31A98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590550</xdr:colOff>
      <xdr:row>14</xdr:row>
      <xdr:rowOff>190499</xdr:rowOff>
    </xdr:from>
    <xdr:to>
      <xdr:col>9</xdr:col>
      <xdr:colOff>295274</xdr:colOff>
      <xdr:row>27</xdr:row>
      <xdr:rowOff>66674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C19EDBD-0BE1-47DC-A4F9-304FEE7F4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361953</xdr:colOff>
      <xdr:row>61</xdr:row>
      <xdr:rowOff>180975</xdr:rowOff>
    </xdr:from>
    <xdr:to>
      <xdr:col>7</xdr:col>
      <xdr:colOff>381001</xdr:colOff>
      <xdr:row>75</xdr:row>
      <xdr:rowOff>71437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250C14-33F7-48F9-981D-06DF1F4BC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9</xdr:row>
      <xdr:rowOff>4762</xdr:rowOff>
    </xdr:from>
    <xdr:to>
      <xdr:col>7</xdr:col>
      <xdr:colOff>600075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408D6D-E99F-4028-A1BF-BCA83F43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214312</xdr:colOff>
      <xdr:row>25</xdr:row>
      <xdr:rowOff>176212</xdr:rowOff>
    </xdr:from>
    <xdr:to>
      <xdr:col>7</xdr:col>
      <xdr:colOff>342900</xdr:colOff>
      <xdr:row>40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32AC20-8D45-4873-9AA8-67707CC2D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5F61-1A6D-48A1-ABBF-33C2753BD989}">
  <dimension ref="A1:D65"/>
  <sheetViews>
    <sheetView tabSelected="1" workbookViewId="0">
      <selection activeCell="B65" sqref="B65"/>
    </sheetView>
  </sheetViews>
  <sheetFormatPr defaultRowHeight="15" x14ac:dyDescent="0.25"/>
  <cols>
    <col min="1" max="1" width="26.42578125" bestFit="1" customWidth="1"/>
    <col min="2" max="2" width="12.425781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>
        <v>2015</v>
      </c>
      <c r="B2" s="5">
        <v>0</v>
      </c>
      <c r="C2" s="5">
        <v>0</v>
      </c>
    </row>
    <row r="3" spans="1:3" x14ac:dyDescent="0.25">
      <c r="A3" s="5">
        <v>2016</v>
      </c>
      <c r="B3" s="5">
        <v>58</v>
      </c>
      <c r="C3" s="5">
        <v>12</v>
      </c>
    </row>
    <row r="4" spans="1:3" x14ac:dyDescent="0.25">
      <c r="A4" s="5">
        <v>2017</v>
      </c>
      <c r="B4" s="5">
        <v>79</v>
      </c>
      <c r="C4" s="5">
        <v>22</v>
      </c>
    </row>
    <row r="5" spans="1:3" x14ac:dyDescent="0.25">
      <c r="A5" s="5">
        <v>2018</v>
      </c>
      <c r="B5" s="5">
        <v>156</v>
      </c>
      <c r="C5" s="5">
        <v>16</v>
      </c>
    </row>
    <row r="6" spans="1:3" x14ac:dyDescent="0.25">
      <c r="A6" s="5">
        <v>2019</v>
      </c>
      <c r="B6" s="5">
        <v>105</v>
      </c>
      <c r="C6" s="5">
        <v>9</v>
      </c>
    </row>
    <row r="7" spans="1:3" x14ac:dyDescent="0.25">
      <c r="A7" s="5">
        <v>2020</v>
      </c>
      <c r="B7" s="5">
        <v>69</v>
      </c>
      <c r="C7" s="5">
        <v>14</v>
      </c>
    </row>
    <row r="8" spans="1:3" x14ac:dyDescent="0.25">
      <c r="A8" s="5">
        <v>2021</v>
      </c>
      <c r="B8" s="5">
        <v>106</v>
      </c>
      <c r="C8" s="5">
        <v>5</v>
      </c>
    </row>
    <row r="9" spans="1:3" x14ac:dyDescent="0.25">
      <c r="A9" s="5">
        <v>2022</v>
      </c>
      <c r="B9" s="5">
        <v>31</v>
      </c>
      <c r="C9" s="5">
        <v>9</v>
      </c>
    </row>
    <row r="10" spans="1:3" x14ac:dyDescent="0.25">
      <c r="A10" s="5">
        <v>2023</v>
      </c>
      <c r="B10" s="5">
        <v>43</v>
      </c>
      <c r="C10" s="5">
        <v>13</v>
      </c>
    </row>
    <row r="11" spans="1:3" x14ac:dyDescent="0.25">
      <c r="A11" s="5">
        <v>2024</v>
      </c>
      <c r="B11" s="5">
        <v>64</v>
      </c>
      <c r="C11" s="5">
        <v>16</v>
      </c>
    </row>
    <row r="12" spans="1:3" x14ac:dyDescent="0.25">
      <c r="A12" s="2">
        <v>2025</v>
      </c>
      <c r="B12" s="5">
        <v>38</v>
      </c>
      <c r="C12" s="5">
        <v>16</v>
      </c>
    </row>
    <row r="13" spans="1:3" x14ac:dyDescent="0.25">
      <c r="A13" s="2"/>
      <c r="B13" s="5">
        <v>17</v>
      </c>
      <c r="C13" s="5">
        <v>8</v>
      </c>
    </row>
    <row r="16" spans="1:3" x14ac:dyDescent="0.25">
      <c r="A16" s="6" t="s">
        <v>3</v>
      </c>
      <c r="B16" s="6" t="s">
        <v>4</v>
      </c>
    </row>
    <row r="17" spans="1:2" x14ac:dyDescent="0.25">
      <c r="A17" s="2" t="s">
        <v>1</v>
      </c>
      <c r="B17" s="2">
        <v>766</v>
      </c>
    </row>
    <row r="18" spans="1:2" x14ac:dyDescent="0.25">
      <c r="A18" s="2" t="s">
        <v>2</v>
      </c>
      <c r="B18" s="2">
        <v>140</v>
      </c>
    </row>
    <row r="30" spans="1:2" x14ac:dyDescent="0.25">
      <c r="A30" s="1" t="s">
        <v>5</v>
      </c>
      <c r="B30" s="1" t="s">
        <v>6</v>
      </c>
    </row>
    <row r="31" spans="1:2" x14ac:dyDescent="0.25">
      <c r="A31" s="2" t="s">
        <v>7</v>
      </c>
      <c r="B31" s="3">
        <v>69</v>
      </c>
    </row>
    <row r="32" spans="1:2" x14ac:dyDescent="0.25">
      <c r="A32" s="2" t="s">
        <v>8</v>
      </c>
      <c r="B32" s="3">
        <v>44</v>
      </c>
    </row>
    <row r="33" spans="1:2" x14ac:dyDescent="0.25">
      <c r="A33" s="2" t="s">
        <v>9</v>
      </c>
      <c r="B33" s="3">
        <v>37</v>
      </c>
    </row>
    <row r="34" spans="1:2" x14ac:dyDescent="0.25">
      <c r="A34" s="2" t="s">
        <v>10</v>
      </c>
      <c r="B34" s="3">
        <v>37</v>
      </c>
    </row>
    <row r="35" spans="1:2" x14ac:dyDescent="0.25">
      <c r="A35" s="2" t="s">
        <v>11</v>
      </c>
      <c r="B35" s="3">
        <v>31</v>
      </c>
    </row>
    <row r="36" spans="1:2" x14ac:dyDescent="0.25">
      <c r="A36" s="2" t="s">
        <v>12</v>
      </c>
      <c r="B36" s="3">
        <v>29</v>
      </c>
    </row>
    <row r="37" spans="1:2" x14ac:dyDescent="0.25">
      <c r="A37" s="2" t="s">
        <v>13</v>
      </c>
      <c r="B37" s="3">
        <v>26</v>
      </c>
    </row>
    <row r="38" spans="1:2" x14ac:dyDescent="0.25">
      <c r="A38" s="2" t="s">
        <v>14</v>
      </c>
      <c r="B38" s="3">
        <v>20</v>
      </c>
    </row>
    <row r="39" spans="1:2" x14ac:dyDescent="0.25">
      <c r="A39" s="2" t="s">
        <v>15</v>
      </c>
      <c r="B39" s="3">
        <v>19</v>
      </c>
    </row>
    <row r="40" spans="1:2" x14ac:dyDescent="0.25">
      <c r="A40" s="2" t="s">
        <v>16</v>
      </c>
      <c r="B40" s="3">
        <v>17</v>
      </c>
    </row>
    <row r="43" spans="1:2" x14ac:dyDescent="0.25">
      <c r="A43" s="1" t="s">
        <v>17</v>
      </c>
      <c r="B43" s="1" t="s">
        <v>6</v>
      </c>
    </row>
    <row r="44" spans="1:2" x14ac:dyDescent="0.25">
      <c r="A44" s="2" t="s">
        <v>18</v>
      </c>
      <c r="B44" s="3">
        <v>93</v>
      </c>
    </row>
    <row r="45" spans="1:2" x14ac:dyDescent="0.25">
      <c r="A45" s="2" t="s">
        <v>7</v>
      </c>
      <c r="B45" s="3">
        <v>24</v>
      </c>
    </row>
    <row r="46" spans="1:2" x14ac:dyDescent="0.25">
      <c r="A46" s="2" t="s">
        <v>19</v>
      </c>
      <c r="B46" s="3">
        <v>23</v>
      </c>
    </row>
    <row r="47" spans="1:2" x14ac:dyDescent="0.25">
      <c r="A47" s="2" t="s">
        <v>9</v>
      </c>
      <c r="B47" s="3">
        <v>14</v>
      </c>
    </row>
    <row r="48" spans="1:2" x14ac:dyDescent="0.25">
      <c r="A48" s="2" t="s">
        <v>20</v>
      </c>
      <c r="B48" s="3">
        <v>14</v>
      </c>
    </row>
    <row r="49" spans="1:4" x14ac:dyDescent="0.25">
      <c r="A49" s="2" t="s">
        <v>21</v>
      </c>
      <c r="B49" s="3">
        <v>14</v>
      </c>
    </row>
    <row r="50" spans="1:4" x14ac:dyDescent="0.25">
      <c r="A50" s="2" t="s">
        <v>22</v>
      </c>
      <c r="B50" s="3">
        <v>13</v>
      </c>
    </row>
    <row r="51" spans="1:4" x14ac:dyDescent="0.25">
      <c r="A51" s="2" t="s">
        <v>23</v>
      </c>
      <c r="B51" s="3">
        <v>12</v>
      </c>
    </row>
    <row r="52" spans="1:4" x14ac:dyDescent="0.25">
      <c r="A52" s="2" t="s">
        <v>24</v>
      </c>
      <c r="B52" s="3">
        <v>12</v>
      </c>
    </row>
    <row r="53" spans="1:4" x14ac:dyDescent="0.25">
      <c r="A53" s="2" t="s">
        <v>12</v>
      </c>
      <c r="B53" s="3">
        <v>11</v>
      </c>
    </row>
    <row r="56" spans="1:4" x14ac:dyDescent="0.25">
      <c r="A56" s="2" t="s">
        <v>25</v>
      </c>
      <c r="B56" s="2" t="s">
        <v>26</v>
      </c>
      <c r="C56" s="2" t="s">
        <v>17</v>
      </c>
    </row>
    <row r="57" spans="1:4" x14ac:dyDescent="0.25">
      <c r="A57" s="2" t="s">
        <v>1</v>
      </c>
      <c r="B57" s="2">
        <v>1578</v>
      </c>
      <c r="C57" s="2">
        <v>393</v>
      </c>
    </row>
    <row r="58" spans="1:4" x14ac:dyDescent="0.25">
      <c r="A58" s="2" t="s">
        <v>27</v>
      </c>
      <c r="B58" s="2">
        <v>516</v>
      </c>
      <c r="C58" s="2">
        <v>237</v>
      </c>
    </row>
    <row r="62" spans="1:4" x14ac:dyDescent="0.25">
      <c r="D62" t="str">
        <f>UPPER(A62)</f>
        <v/>
      </c>
    </row>
    <row r="63" spans="1:4" x14ac:dyDescent="0.25">
      <c r="A63" s="2" t="s">
        <v>28</v>
      </c>
      <c r="B63" s="2" t="s">
        <v>29</v>
      </c>
    </row>
    <row r="64" spans="1:4" x14ac:dyDescent="0.25">
      <c r="A64" s="2" t="s">
        <v>30</v>
      </c>
      <c r="B64" s="2">
        <v>720</v>
      </c>
    </row>
    <row r="65" spans="1:2" x14ac:dyDescent="0.25">
      <c r="A65" s="2" t="s">
        <v>31</v>
      </c>
      <c r="B65" s="2">
        <v>401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4A3B-66C2-4F62-855F-FFB9D96FB5FC}">
  <dimension ref="A1:E60"/>
  <sheetViews>
    <sheetView topLeftCell="A58" workbookViewId="0">
      <selection activeCell="G50" sqref="G50"/>
    </sheetView>
  </sheetViews>
  <sheetFormatPr defaultRowHeight="15" x14ac:dyDescent="0.25"/>
  <cols>
    <col min="1" max="1" width="23.28515625" bestFit="1" customWidth="1"/>
    <col min="2" max="2" width="11.28515625" bestFit="1" customWidth="1"/>
    <col min="4" max="4" width="11.28515625" bestFit="1" customWidth="1"/>
  </cols>
  <sheetData>
    <row r="1" spans="1:5" x14ac:dyDescent="0.25">
      <c r="A1" s="10" t="s">
        <v>32</v>
      </c>
      <c r="B1" s="9" t="s">
        <v>39</v>
      </c>
      <c r="C1" s="9"/>
      <c r="D1" s="9" t="s">
        <v>38</v>
      </c>
      <c r="E1" s="9"/>
    </row>
    <row r="2" spans="1:5" x14ac:dyDescent="0.25">
      <c r="A2" s="10"/>
      <c r="B2" s="1" t="s">
        <v>40</v>
      </c>
      <c r="C2" s="1" t="s">
        <v>41</v>
      </c>
      <c r="D2" s="1" t="s">
        <v>40</v>
      </c>
      <c r="E2" s="1" t="s">
        <v>41</v>
      </c>
    </row>
    <row r="3" spans="1:5" x14ac:dyDescent="0.25">
      <c r="A3" s="2" t="s">
        <v>33</v>
      </c>
      <c r="B3" s="3">
        <v>7</v>
      </c>
      <c r="C3" s="7">
        <f>(B3/49)</f>
        <v>0.14285714285714285</v>
      </c>
      <c r="D3" s="2">
        <v>6</v>
      </c>
      <c r="E3" s="8">
        <f>(D3/33)</f>
        <v>0.18181818181818182</v>
      </c>
    </row>
    <row r="4" spans="1:5" x14ac:dyDescent="0.25">
      <c r="A4" s="2" t="s">
        <v>34</v>
      </c>
      <c r="B4" s="3">
        <v>21</v>
      </c>
      <c r="C4" s="7">
        <f t="shared" ref="C4:C7" si="0">(B4/49)</f>
        <v>0.42857142857142855</v>
      </c>
      <c r="D4" s="2">
        <v>13</v>
      </c>
      <c r="E4" s="8">
        <f t="shared" ref="E4:E7" si="1">(D4/33)</f>
        <v>0.39393939393939392</v>
      </c>
    </row>
    <row r="5" spans="1:5" x14ac:dyDescent="0.25">
      <c r="A5" s="2" t="s">
        <v>35</v>
      </c>
      <c r="B5" s="3">
        <v>8</v>
      </c>
      <c r="C5" s="7">
        <f t="shared" si="0"/>
        <v>0.16326530612244897</v>
      </c>
      <c r="D5" s="2">
        <v>6</v>
      </c>
      <c r="E5" s="8">
        <f t="shared" si="1"/>
        <v>0.18181818181818182</v>
      </c>
    </row>
    <row r="6" spans="1:5" x14ac:dyDescent="0.25">
      <c r="A6" s="2" t="s">
        <v>36</v>
      </c>
      <c r="B6" s="3">
        <v>4</v>
      </c>
      <c r="C6" s="7">
        <f t="shared" si="0"/>
        <v>8.1632653061224483E-2</v>
      </c>
      <c r="D6" s="2">
        <v>4</v>
      </c>
      <c r="E6" s="8">
        <f t="shared" si="1"/>
        <v>0.12121212121212122</v>
      </c>
    </row>
    <row r="7" spans="1:5" x14ac:dyDescent="0.25">
      <c r="A7" s="2" t="s">
        <v>37</v>
      </c>
      <c r="B7" s="3">
        <v>9</v>
      </c>
      <c r="C7" s="7">
        <f t="shared" si="0"/>
        <v>0.18367346938775511</v>
      </c>
      <c r="D7" s="2">
        <v>4</v>
      </c>
      <c r="E7" s="8">
        <f t="shared" si="1"/>
        <v>0.12121212121212122</v>
      </c>
    </row>
    <row r="10" spans="1:5" x14ac:dyDescent="0.25">
      <c r="A10" s="2" t="s">
        <v>42</v>
      </c>
      <c r="B10" s="2" t="s">
        <v>38</v>
      </c>
    </row>
    <row r="11" spans="1:5" x14ac:dyDescent="0.25">
      <c r="A11" s="2" t="s">
        <v>43</v>
      </c>
      <c r="B11" s="2">
        <v>12</v>
      </c>
    </row>
    <row r="12" spans="1:5" x14ac:dyDescent="0.25">
      <c r="A12" s="2" t="s">
        <v>44</v>
      </c>
      <c r="B12" s="2">
        <v>37</v>
      </c>
    </row>
    <row r="27" spans="1:2" x14ac:dyDescent="0.25">
      <c r="A27" s="2" t="s">
        <v>45</v>
      </c>
      <c r="B27" s="2" t="s">
        <v>38</v>
      </c>
    </row>
    <row r="28" spans="1:2" x14ac:dyDescent="0.25">
      <c r="A28" s="2" t="s">
        <v>46</v>
      </c>
      <c r="B28" s="2">
        <v>7</v>
      </c>
    </row>
    <row r="29" spans="1:2" x14ac:dyDescent="0.25">
      <c r="A29" s="2" t="s">
        <v>47</v>
      </c>
      <c r="B29" s="2">
        <v>26</v>
      </c>
    </row>
    <row r="43" spans="1:3" x14ac:dyDescent="0.25">
      <c r="A43" s="2" t="s">
        <v>48</v>
      </c>
      <c r="B43" s="2" t="s">
        <v>7</v>
      </c>
      <c r="C43" s="2" t="s">
        <v>49</v>
      </c>
    </row>
    <row r="44" spans="1:3" x14ac:dyDescent="0.25">
      <c r="A44" s="2" t="s">
        <v>60</v>
      </c>
      <c r="B44" s="2">
        <v>206</v>
      </c>
      <c r="C44" s="2">
        <v>12</v>
      </c>
    </row>
    <row r="45" spans="1:3" x14ac:dyDescent="0.25">
      <c r="A45" s="2" t="s">
        <v>55</v>
      </c>
      <c r="B45" s="2">
        <v>132</v>
      </c>
      <c r="C45" s="2">
        <v>3</v>
      </c>
    </row>
    <row r="46" spans="1:3" x14ac:dyDescent="0.25">
      <c r="A46" s="2" t="s">
        <v>58</v>
      </c>
      <c r="B46" s="2">
        <v>67</v>
      </c>
      <c r="C46" s="2">
        <v>7</v>
      </c>
    </row>
    <row r="47" spans="1:3" x14ac:dyDescent="0.25">
      <c r="A47" s="2" t="s">
        <v>63</v>
      </c>
      <c r="B47" s="2">
        <v>62</v>
      </c>
      <c r="C47" s="2">
        <v>58</v>
      </c>
    </row>
    <row r="48" spans="1:3" x14ac:dyDescent="0.25">
      <c r="A48" s="2" t="s">
        <v>56</v>
      </c>
      <c r="B48" s="2">
        <v>51</v>
      </c>
      <c r="C48" s="2">
        <v>9</v>
      </c>
    </row>
    <row r="49" spans="1:3" x14ac:dyDescent="0.25">
      <c r="A49" s="2" t="s">
        <v>50</v>
      </c>
      <c r="B49" s="2">
        <v>33</v>
      </c>
      <c r="C49" s="2">
        <v>12</v>
      </c>
    </row>
    <row r="50" spans="1:3" x14ac:dyDescent="0.25">
      <c r="A50" s="2" t="s">
        <v>62</v>
      </c>
      <c r="B50" s="2">
        <v>32</v>
      </c>
      <c r="C50" s="2">
        <v>0</v>
      </c>
    </row>
    <row r="51" spans="1:3" x14ac:dyDescent="0.25">
      <c r="A51" s="2" t="s">
        <v>59</v>
      </c>
      <c r="B51" s="2">
        <v>30</v>
      </c>
      <c r="C51" s="2">
        <v>0</v>
      </c>
    </row>
    <row r="52" spans="1:3" x14ac:dyDescent="0.25">
      <c r="A52" s="2" t="s">
        <v>66</v>
      </c>
      <c r="B52" s="2">
        <v>30</v>
      </c>
      <c r="C52" s="2">
        <v>5</v>
      </c>
    </row>
    <row r="53" spans="1:3" x14ac:dyDescent="0.25">
      <c r="A53" s="2" t="s">
        <v>57</v>
      </c>
      <c r="B53" s="2">
        <v>27</v>
      </c>
      <c r="C53" s="2">
        <v>16</v>
      </c>
    </row>
    <row r="54" spans="1:3" x14ac:dyDescent="0.25">
      <c r="A54" s="2" t="s">
        <v>53</v>
      </c>
      <c r="B54" s="2">
        <v>24</v>
      </c>
      <c r="C54" s="2">
        <v>4</v>
      </c>
    </row>
    <row r="55" spans="1:3" x14ac:dyDescent="0.25">
      <c r="A55" s="2" t="s">
        <v>61</v>
      </c>
      <c r="B55" s="2">
        <v>21</v>
      </c>
      <c r="C55" s="2">
        <v>8</v>
      </c>
    </row>
    <row r="56" spans="1:3" x14ac:dyDescent="0.25">
      <c r="A56" s="2" t="s">
        <v>54</v>
      </c>
      <c r="B56" s="2">
        <v>19</v>
      </c>
      <c r="C56" s="2">
        <v>2</v>
      </c>
    </row>
    <row r="57" spans="1:3" x14ac:dyDescent="0.25">
      <c r="A57" s="2" t="s">
        <v>51</v>
      </c>
      <c r="B57" s="2">
        <v>17</v>
      </c>
      <c r="C57" s="2">
        <v>0</v>
      </c>
    </row>
    <row r="58" spans="1:3" x14ac:dyDescent="0.25">
      <c r="A58" s="2" t="s">
        <v>52</v>
      </c>
      <c r="B58" s="2">
        <v>14</v>
      </c>
      <c r="C58" s="2">
        <v>2</v>
      </c>
    </row>
    <row r="59" spans="1:3" x14ac:dyDescent="0.25">
      <c r="A59" s="2" t="s">
        <v>65</v>
      </c>
      <c r="B59" s="2">
        <v>1</v>
      </c>
      <c r="C59" s="2">
        <v>1</v>
      </c>
    </row>
    <row r="60" spans="1:3" x14ac:dyDescent="0.25">
      <c r="A60" s="2" t="s">
        <v>64</v>
      </c>
      <c r="B60" s="2">
        <v>0</v>
      </c>
      <c r="C60" s="2">
        <v>1</v>
      </c>
    </row>
  </sheetData>
  <mergeCells count="3">
    <mergeCell ref="B1:C1"/>
    <mergeCell ref="D1:E1"/>
    <mergeCell ref="A1:A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Panorama da Produção Cientifica</vt:lpstr>
      <vt:lpstr>Distribuição Institucional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USUARIO1</cp:lastModifiedBy>
  <dcterms:created xsi:type="dcterms:W3CDTF">2025-10-11T18:58:16Z</dcterms:created>
  <dcterms:modified xsi:type="dcterms:W3CDTF">2025-11-03T13:40:58Z</dcterms:modified>
</cp:coreProperties>
</file>